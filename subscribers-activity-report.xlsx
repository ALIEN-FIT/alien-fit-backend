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ubscribers" sheetId="2" state="visible" r:id="rId4"/>
    <sheet name="Login Tim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<sst xmlns="http://schemas.openxmlformats.org/spreadsheetml/2006/main" count="115" uniqueCount="86">
  <si>
    <t xml:space="preserve">AlienFit — Subscriber App Activity</t>
  </si>
  <si>
    <t xml:space="preserve">Report date</t>
  </si>
  <si>
    <t xml:space="preserve">Metric</t>
  </si>
  <si>
    <t xml:space="preserve">Value</t>
  </si>
  <si>
    <t xml:space="preserve">Subscribed users</t>
  </si>
  <si>
    <t xml:space="preserve">Opened today (last 24h)</t>
  </si>
  <si>
    <t xml:space="preserve">Active (opened ≤7 days)</t>
  </si>
  <si>
    <t xml:space="preserve">Inactive (8–30 days)</t>
  </si>
  <si>
    <t xml:space="preserve">Never opened the app</t>
  </si>
  <si>
    <t xml:space="preserve">Push-reachable (has token)</t>
  </si>
  <si>
    <t xml:space="preserve">Subscriptions expiring ≤7 days</t>
  </si>
  <si>
    <t xml:space="preserve">Active rate (7d)</t>
  </si>
  <si>
    <t xml:space="preserve">Push reach rate</t>
  </si>
  <si>
    <t xml:space="preserve">Key findings:</t>
  </si>
  <si>
    <t xml:space="preserve">• Only 8 of 17 paying subscribers opened the app in the last 7 days; 8 NEVER opened it.</t>
  </si>
  <si>
    <t xml:space="preserve">• Only 8 of 17 are reachable by push (have an FCM token) — the other 9 have no device token.</t>
  </si>
  <si>
    <t xml:space="preserve">• Several never-opened subscribers expire within days (see 'Subscribers' tab, ⚠️ Soon).</t>
  </si>
  <si>
    <t xml:space="preserve">• Peak login hours are around 11:00 and 13:00–15:00 Cairo time (see 'Login Times' tab).</t>
  </si>
  <si>
    <t xml:space="preserve">• 'Last open' = most recent user_sessions.updatedAt; 'Never opened' = no app session on record.</t>
  </si>
  <si>
    <t xml:space="preserve">Name</t>
  </si>
  <si>
    <t xml:space="preserve">Phone</t>
  </si>
  <si>
    <t xml:space="preserve">Status</t>
  </si>
  <si>
    <t xml:space="preserve">Last open</t>
  </si>
  <si>
    <t xml:space="preserve">Days since open</t>
  </si>
  <si>
    <t xml:space="preserve">Subscription ends</t>
  </si>
  <si>
    <t xml:space="preserve">Days left</t>
  </si>
  <si>
    <t xml:space="preserve">Expiring?</t>
  </si>
  <si>
    <t xml:space="preserve">Push reachable</t>
  </si>
  <si>
    <t xml:space="preserve">Ramy Elhossainy</t>
  </si>
  <si>
    <t xml:space="preserve">+201234500007</t>
  </si>
  <si>
    <t xml:space="preserve">Active</t>
  </si>
  <si>
    <t xml:space="preserve">Yes</t>
  </si>
  <si>
    <t xml:space="preserve">Menna Salem</t>
  </si>
  <si>
    <t xml:space="preserve">+201016986617</t>
  </si>
  <si>
    <t xml:space="preserve">shady</t>
  </si>
  <si>
    <t xml:space="preserve">+201023126037</t>
  </si>
  <si>
    <t xml:space="preserve">Mariam</t>
  </si>
  <si>
    <t xml:space="preserve">+201033244624</t>
  </si>
  <si>
    <t xml:space="preserve">Youssef Newishi</t>
  </si>
  <si>
    <t xml:space="preserve">+201111100159</t>
  </si>
  <si>
    <t xml:space="preserve">Youssef Ahmed</t>
  </si>
  <si>
    <t xml:space="preserve">+201211201869</t>
  </si>
  <si>
    <t xml:space="preserve">Adham Abouelhamd</t>
  </si>
  <si>
    <t xml:space="preserve">+201025885995</t>
  </si>
  <si>
    <t xml:space="preserve">Peter Youssef</t>
  </si>
  <si>
    <t xml:space="preserve">+201274712888</t>
  </si>
  <si>
    <t xml:space="preserve">No</t>
  </si>
  <si>
    <t xml:space="preserve">lilly battisha</t>
  </si>
  <si>
    <t xml:space="preserve">+201146024607</t>
  </si>
  <si>
    <t xml:space="preserve">Inactive</t>
  </si>
  <si>
    <t xml:space="preserve">RANA HELMY</t>
  </si>
  <si>
    <t xml:space="preserve">+201285939931</t>
  </si>
  <si>
    <t xml:space="preserve">Never opened</t>
  </si>
  <si>
    <t xml:space="preserve">Laila</t>
  </si>
  <si>
    <t xml:space="preserve">+201117180000</t>
  </si>
  <si>
    <t xml:space="preserve">Neveen Mourad</t>
  </si>
  <si>
    <t xml:space="preserve">+201150021500</t>
  </si>
  <si>
    <t xml:space="preserve">Hatem</t>
  </si>
  <si>
    <t xml:space="preserve">+201002005400</t>
  </si>
  <si>
    <t xml:space="preserve">noor gamali</t>
  </si>
  <si>
    <t xml:space="preserve">+201281100200</t>
  </si>
  <si>
    <t xml:space="preserve">shady Khalil</t>
  </si>
  <si>
    <t xml:space="preserve">+201000555759</t>
  </si>
  <si>
    <t xml:space="preserve">Ahmed Khorshid</t>
  </si>
  <si>
    <t xml:space="preserve">+201009600070</t>
  </si>
  <si>
    <t xml:space="preserve">mohamed kassem</t>
  </si>
  <si>
    <t xml:space="preserve">+201000001591</t>
  </si>
  <si>
    <t xml:space="preserve">Login times of subscribers (Cairo time, last 30 days)</t>
  </si>
  <si>
    <t xml:space="preserve">Hour (Cairo)</t>
  </si>
  <si>
    <t xml:space="preserve">Logins</t>
  </si>
  <si>
    <t xml:space="preserve">05:00</t>
  </si>
  <si>
    <t xml:space="preserve">06:00</t>
  </si>
  <si>
    <t xml:space="preserve">08:00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</si>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</sst>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%"/>
    <numFmt numFmtId="167" formatCode="@"/>
    <numFmt numFmtId="168" formatCode="yyyy\-mm\-dd\ 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C7CE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E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Logins by hour (Cairo)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'Login Times'!B3</c:f>
              <c:strCache>
                <c:ptCount val="1"/>
                <c:pt idx="0">
                  <c:v>Logins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'Login Times'!$A$4:$A$18</c:f>
              <c:strCache>
                <c:ptCount val="15"/>
                <c:pt idx="0">
                  <c:v>05:00</c:v>
                </c:pt>
                <c:pt idx="1">
                  <c:v>06:00</c:v>
                </c:pt>
                <c:pt idx="2">
                  <c:v>08:00</c:v>
                </c:pt>
                <c:pt idx="3">
                  <c:v>10:00</c:v>
                </c:pt>
                <c:pt idx="4">
                  <c:v>11:00</c:v>
                </c:pt>
                <c:pt idx="5">
                  <c:v>12:00</c:v>
                </c:pt>
                <c:pt idx="6">
                  <c:v>13:00</c:v>
                </c:pt>
                <c:pt idx="7">
                  <c:v>14:00</c:v>
                </c:pt>
                <c:pt idx="8">
                  <c:v>15:00</c:v>
                </c:pt>
                <c:pt idx="9">
                  <c:v>16:00</c:v>
                </c:pt>
                <c:pt idx="10">
                  <c:v>17:00</c:v>
                </c:pt>
                <c:pt idx="11">
                  <c:v>18:00</c:v>
                </c:pt>
                <c:pt idx="12">
                  <c:v>19:00</c:v>
                </c:pt>
                <c:pt idx="13">
                  <c:v>20:00</c:v>
                </c:pt>
                <c:pt idx="14">
                  <c:v>21:00</c:v>
                </c:pt>
              </c:strCache>
            </c:strRef>
          </c:cat>
          <c:val>
            <c:numRef>
              <c:f>'Login Times'!$B$4:$B$18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gapWidth val="150"/>
        <c:overlap val="0"/>
        <c:axId val="18034046"/>
        <c:axId val="93257586"/>
      </c:barChart>
      <c:catAx>
        <c:axId val="18034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57586"/>
        <c:crosses val="autoZero"/>
        <c:auto val="1"/>
        <c:lblAlgn val="ctr"/>
        <c:lblOffset val="100"/>
        <c:noMultiLvlLbl val="0"/>
      </c:catAx>
      <c:valAx>
        <c:axId val="932575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0340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13</xdr:col>
      <xdr:colOff>364680</xdr:colOff>
      <xdr:row>17</xdr:row>
      <xdr:rowOff>21960</xdr:rowOff>
    </xdr:to>
    <xdr:graphicFrame>
      <xdr:nvGraphicFramePr>
        <xdr:cNvPr id="1" name="Chart 1"/>
        <xdr:cNvGraphicFramePr/>
      </xdr:nvGraphicFramePr>
      <xdr:xfrm>
        <a:off x="2585160" y="4107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46197</v>
      </c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n">
        <f aca="false">COUNTA(Subscribers!A2:A18)</f>
        <v>17</v>
      </c>
    </row>
    <row r="6" customFormat="false" ht="15" hidden="false" customHeight="false" outlineLevel="0" collapsed="false">
      <c r="A6" s="5" t="s">
        <v>5</v>
      </c>
      <c r="B6" s="6" t="n">
        <f aca="false">COUNTIF(Subscribers!E2:E18,0)</f>
        <v>3</v>
      </c>
    </row>
    <row r="7" customFormat="false" ht="15" hidden="false" customHeight="false" outlineLevel="0" collapsed="false">
      <c r="A7" s="5" t="s">
        <v>6</v>
      </c>
      <c r="B7" s="6" t="n">
        <f aca="false">COUNTIF(Subscribers!C2:C18,"Active")</f>
        <v>8</v>
      </c>
    </row>
    <row r="8" customFormat="false" ht="15" hidden="false" customHeight="false" outlineLevel="0" collapsed="false">
      <c r="A8" s="5" t="s">
        <v>7</v>
      </c>
      <c r="B8" s="6" t="n">
        <f aca="false">COUNTIF(Subscribers!C2:C18,"Inactive")</f>
        <v>1</v>
      </c>
    </row>
    <row r="9" customFormat="false" ht="15" hidden="false" customHeight="false" outlineLevel="0" collapsed="false">
      <c r="A9" s="5" t="s">
        <v>8</v>
      </c>
      <c r="B9" s="6" t="n">
        <f aca="false">COUNTIF(Subscribers!C2:C18,"Never opened")</f>
        <v>8</v>
      </c>
    </row>
    <row r="10" customFormat="false" ht="15" hidden="false" customHeight="false" outlineLevel="0" collapsed="false">
      <c r="A10" s="5" t="s">
        <v>9</v>
      </c>
      <c r="B10" s="6" t="n">
        <f aca="false">COUNTIF(Subscribers!I2:I18,"Yes")</f>
        <v>8</v>
      </c>
    </row>
    <row r="11" customFormat="false" ht="15" hidden="false" customHeight="false" outlineLevel="0" collapsed="false">
      <c r="A11" s="5" t="s">
        <v>10</v>
      </c>
      <c r="B11" s="6" t="n">
        <f aca="false">COUNTIF(Subscribers!H2:H18,"⚠️ Soon")</f>
        <v>4</v>
      </c>
    </row>
    <row r="12" customFormat="false" ht="15" hidden="false" customHeight="false" outlineLevel="0" collapsed="false">
      <c r="A12" s="5" t="s">
        <v>11</v>
      </c>
      <c r="B12" s="7" t="n">
        <f aca="false">B7/B5</f>
        <v>0.470588235294118</v>
      </c>
    </row>
    <row r="13" customFormat="false" ht="15" hidden="false" customHeight="false" outlineLevel="0" collapsed="false">
      <c r="A13" s="5" t="s">
        <v>12</v>
      </c>
      <c r="B13" s="7" t="n">
        <f aca="false">B10/B5</f>
        <v>0.470588235294118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8" t="s">
        <v>15</v>
      </c>
    </row>
    <row r="19" customFormat="false" ht="15" hidden="false" customHeight="false" outlineLevel="0" collapsed="false">
      <c r="A19" s="8" t="s">
        <v>16</v>
      </c>
    </row>
    <row r="20" customFormat="false" ht="15" hidden="false" customHeight="false" outlineLevel="0" collapsed="false">
      <c r="A20" s="8" t="s">
        <v>17</v>
      </c>
    </row>
    <row r="21" customFormat="false" ht="15" hidden="false" customHeight="false" outlineLevel="0" collapsed="false">
      <c r="A21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</row>
    <row r="2" customFormat="false" ht="15" hidden="false" customHeight="false" outlineLevel="0" collapsed="false">
      <c r="A2" s="5" t="s">
        <v>28</v>
      </c>
      <c r="B2" s="10" t="s">
        <v>29</v>
      </c>
      <c r="C2" s="11" t="s">
        <v>30</v>
      </c>
      <c r="D2" s="12" t="n">
        <v>46197.3082523148</v>
      </c>
      <c r="E2" s="5" t="n">
        <f aca="false">IF(D2="","",INT(Summary!$B$2-D2))</f>
        <v>-1</v>
      </c>
      <c r="F2" s="13" t="n">
        <v>46225.8986342593</v>
      </c>
      <c r="G2" s="5" t="n">
        <f aca="false">INT(F2-Summary!$B$2)</f>
        <v>28</v>
      </c>
      <c r="H2" s="5" t="str">
        <f aca="false">IF(G2&lt;=7,"⚠️ Soon","")</f>
        <v/>
      </c>
      <c r="I2" s="5" t="s">
        <v>31</v>
      </c>
    </row>
    <row r="3" customFormat="false" ht="15" hidden="false" customHeight="false" outlineLevel="0" collapsed="false">
      <c r="A3" s="5" t="s">
        <v>32</v>
      </c>
      <c r="B3" s="10" t="s">
        <v>33</v>
      </c>
      <c r="C3" s="11" t="s">
        <v>30</v>
      </c>
      <c r="D3" s="12" t="n">
        <v>46197.2287847222</v>
      </c>
      <c r="E3" s="5" t="n">
        <f aca="false">IF(D3="","",INT(Summary!$B$2-D3))</f>
        <v>-1</v>
      </c>
      <c r="F3" s="13" t="n">
        <v>46207.683900463</v>
      </c>
      <c r="G3" s="5" t="n">
        <f aca="false">INT(F3-Summary!$B$2)</f>
        <v>10</v>
      </c>
      <c r="H3" s="5" t="str">
        <f aca="false">IF(G3&lt;=7,"⚠️ Soon","")</f>
        <v/>
      </c>
      <c r="I3" s="5" t="s">
        <v>31</v>
      </c>
    </row>
    <row r="4" customFormat="false" ht="15" hidden="false" customHeight="false" outlineLevel="0" collapsed="false">
      <c r="A4" s="5" t="s">
        <v>34</v>
      </c>
      <c r="B4" s="10" t="s">
        <v>35</v>
      </c>
      <c r="C4" s="11" t="s">
        <v>30</v>
      </c>
      <c r="D4" s="12" t="n">
        <v>46196.9255092593</v>
      </c>
      <c r="E4" s="5" t="n">
        <f aca="false">IF(D4="","",INT(Summary!$B$2-D4))</f>
        <v>0</v>
      </c>
      <c r="F4" s="13" t="n">
        <v>46232.875</v>
      </c>
      <c r="G4" s="5" t="n">
        <f aca="false">INT(F4-Summary!$B$2)</f>
        <v>35</v>
      </c>
      <c r="H4" s="5" t="str">
        <f aca="false">IF(G4&lt;=7,"⚠️ Soon","")</f>
        <v/>
      </c>
      <c r="I4" s="5" t="s">
        <v>31</v>
      </c>
    </row>
    <row r="5" customFormat="false" ht="15" hidden="false" customHeight="false" outlineLevel="0" collapsed="false">
      <c r="A5" s="5" t="s">
        <v>36</v>
      </c>
      <c r="B5" s="10" t="s">
        <v>37</v>
      </c>
      <c r="C5" s="11" t="s">
        <v>30</v>
      </c>
      <c r="D5" s="12" t="n">
        <v>46196.7291319444</v>
      </c>
      <c r="E5" s="5" t="n">
        <f aca="false">IF(D5="","",INT(Summary!$B$2-D5))</f>
        <v>0</v>
      </c>
      <c r="F5" s="13" t="n">
        <v>46204.5871643519</v>
      </c>
      <c r="G5" s="5" t="n">
        <f aca="false">INT(F5-Summary!$B$2)</f>
        <v>7</v>
      </c>
      <c r="H5" s="5" t="str">
        <f aca="false">IF(G5&lt;=7,"⚠️ Soon","")</f>
        <v>⚠️ Soon</v>
      </c>
      <c r="I5" s="5" t="s">
        <v>31</v>
      </c>
    </row>
    <row r="6" customFormat="false" ht="15" hidden="false" customHeight="false" outlineLevel="0" collapsed="false">
      <c r="A6" s="5" t="s">
        <v>38</v>
      </c>
      <c r="B6" s="10" t="s">
        <v>39</v>
      </c>
      <c r="C6" s="11" t="s">
        <v>30</v>
      </c>
      <c r="D6" s="12" t="n">
        <v>46196.061400463</v>
      </c>
      <c r="E6" s="5" t="n">
        <f aca="false">IF(D6="","",INT(Summary!$B$2-D6))</f>
        <v>0</v>
      </c>
      <c r="F6" s="13" t="n">
        <v>46207.5129976852</v>
      </c>
      <c r="G6" s="5" t="n">
        <f aca="false">INT(F6-Summary!$B$2)</f>
        <v>10</v>
      </c>
      <c r="H6" s="5" t="str">
        <f aca="false">IF(G6&lt;=7,"⚠️ Soon","")</f>
        <v/>
      </c>
      <c r="I6" s="5" t="s">
        <v>31</v>
      </c>
    </row>
    <row r="7" customFormat="false" ht="15" hidden="false" customHeight="false" outlineLevel="0" collapsed="false">
      <c r="A7" s="5" t="s">
        <v>40</v>
      </c>
      <c r="B7" s="10" t="s">
        <v>41</v>
      </c>
      <c r="C7" s="11" t="s">
        <v>30</v>
      </c>
      <c r="D7" s="12" t="n">
        <v>46194.7593171296</v>
      </c>
      <c r="E7" s="5" t="n">
        <f aca="false">IF(D7="","",INT(Summary!$B$2-D7))</f>
        <v>2</v>
      </c>
      <c r="F7" s="13" t="n">
        <v>46212.6354166667</v>
      </c>
      <c r="G7" s="5" t="n">
        <f aca="false">INT(F7-Summary!$B$2)</f>
        <v>15</v>
      </c>
      <c r="H7" s="5" t="str">
        <f aca="false">IF(G7&lt;=7,"⚠️ Soon","")</f>
        <v/>
      </c>
      <c r="I7" s="5" t="s">
        <v>31</v>
      </c>
    </row>
    <row r="8" customFormat="false" ht="15" hidden="false" customHeight="false" outlineLevel="0" collapsed="false">
      <c r="A8" s="5" t="s">
        <v>42</v>
      </c>
      <c r="B8" s="10" t="s">
        <v>43</v>
      </c>
      <c r="C8" s="11" t="s">
        <v>30</v>
      </c>
      <c r="D8" s="12" t="n">
        <v>46194.5323611111</v>
      </c>
      <c r="E8" s="5" t="n">
        <f aca="false">IF(D8="","",INT(Summary!$B$2-D8))</f>
        <v>2</v>
      </c>
      <c r="F8" s="13" t="n">
        <v>46224.5652314815</v>
      </c>
      <c r="G8" s="5" t="n">
        <f aca="false">INT(F8-Summary!$B$2)</f>
        <v>27</v>
      </c>
      <c r="H8" s="5" t="str">
        <f aca="false">IF(G8&lt;=7,"⚠️ Soon","")</f>
        <v/>
      </c>
      <c r="I8" s="5" t="s">
        <v>31</v>
      </c>
    </row>
    <row r="9" customFormat="false" ht="15" hidden="false" customHeight="false" outlineLevel="0" collapsed="false">
      <c r="A9" s="5" t="s">
        <v>44</v>
      </c>
      <c r="B9" s="10" t="s">
        <v>45</v>
      </c>
      <c r="C9" s="11" t="s">
        <v>30</v>
      </c>
      <c r="D9" s="12" t="n">
        <v>46192.8750347222</v>
      </c>
      <c r="E9" s="5" t="n">
        <f aca="false">IF(D9="","",INT(Summary!$B$2-D9))</f>
        <v>4</v>
      </c>
      <c r="F9" s="13" t="n">
        <v>46283.3651273148</v>
      </c>
      <c r="G9" s="5" t="n">
        <f aca="false">INT(F9-Summary!$B$2)</f>
        <v>86</v>
      </c>
      <c r="H9" s="5" t="str">
        <f aca="false">IF(G9&lt;=7,"⚠️ Soon","")</f>
        <v/>
      </c>
      <c r="I9" s="14" t="s">
        <v>46</v>
      </c>
    </row>
    <row r="10" customFormat="false" ht="15" hidden="false" customHeight="false" outlineLevel="0" collapsed="false">
      <c r="A10" s="5" t="s">
        <v>47</v>
      </c>
      <c r="B10" s="10" t="s">
        <v>48</v>
      </c>
      <c r="C10" s="15" t="s">
        <v>49</v>
      </c>
      <c r="D10" s="12" t="n">
        <v>46182.4566203704</v>
      </c>
      <c r="E10" s="5" t="n">
        <f aca="false">IF(D10="","",INT(Summary!$B$2-D10))</f>
        <v>14</v>
      </c>
      <c r="F10" s="13" t="n">
        <v>46214.5751273148</v>
      </c>
      <c r="G10" s="5" t="n">
        <f aca="false">INT(F10-Summary!$B$2)</f>
        <v>17</v>
      </c>
      <c r="H10" s="5" t="str">
        <f aca="false">IF(G10&lt;=7,"⚠️ Soon","")</f>
        <v/>
      </c>
      <c r="I10" s="5" t="s">
        <v>31</v>
      </c>
    </row>
    <row r="11" customFormat="false" ht="15" hidden="false" customHeight="false" outlineLevel="0" collapsed="false">
      <c r="A11" s="5" t="s">
        <v>50</v>
      </c>
      <c r="B11" s="10" t="s">
        <v>51</v>
      </c>
      <c r="C11" s="16" t="s">
        <v>52</v>
      </c>
      <c r="D11" s="5"/>
      <c r="E11" s="5" t="str">
        <f aca="false">IF(D11="","",INT(Summary!$B$2-D11))</f>
        <v/>
      </c>
      <c r="F11" s="13" t="n">
        <v>46215.872349537</v>
      </c>
      <c r="G11" s="5" t="n">
        <f aca="false">INT(F11-Summary!$B$2)</f>
        <v>18</v>
      </c>
      <c r="H11" s="5" t="str">
        <f aca="false">IF(G11&lt;=7,"⚠️ Soon","")</f>
        <v/>
      </c>
      <c r="I11" s="14" t="s">
        <v>46</v>
      </c>
    </row>
    <row r="12" customFormat="false" ht="15" hidden="false" customHeight="false" outlineLevel="0" collapsed="false">
      <c r="A12" s="5" t="s">
        <v>53</v>
      </c>
      <c r="B12" s="10" t="s">
        <v>54</v>
      </c>
      <c r="C12" s="16" t="s">
        <v>52</v>
      </c>
      <c r="D12" s="5"/>
      <c r="E12" s="5" t="str">
        <f aca="false">IF(D12="","",INT(Summary!$B$2-D12))</f>
        <v/>
      </c>
      <c r="F12" s="13" t="n">
        <v>46198.9755671296</v>
      </c>
      <c r="G12" s="5" t="n">
        <f aca="false">INT(F12-Summary!$B$2)</f>
        <v>1</v>
      </c>
      <c r="H12" s="5" t="str">
        <f aca="false">IF(G12&lt;=7,"⚠️ Soon","")</f>
        <v>⚠️ Soon</v>
      </c>
      <c r="I12" s="14" t="s">
        <v>46</v>
      </c>
    </row>
    <row r="13" customFormat="false" ht="15" hidden="false" customHeight="false" outlineLevel="0" collapsed="false">
      <c r="A13" s="5" t="s">
        <v>55</v>
      </c>
      <c r="B13" s="10" t="s">
        <v>56</v>
      </c>
      <c r="C13" s="16" t="s">
        <v>52</v>
      </c>
      <c r="D13" s="5"/>
      <c r="E13" s="5" t="str">
        <f aca="false">IF(D13="","",INT(Summary!$B$2-D13))</f>
        <v/>
      </c>
      <c r="F13" s="13" t="n">
        <v>46242.5984027778</v>
      </c>
      <c r="G13" s="5" t="n">
        <f aca="false">INT(F13-Summary!$B$2)</f>
        <v>45</v>
      </c>
      <c r="H13" s="5" t="str">
        <f aca="false">IF(G13&lt;=7,"⚠️ Soon","")</f>
        <v/>
      </c>
      <c r="I13" s="14" t="s">
        <v>46</v>
      </c>
    </row>
    <row r="14" customFormat="false" ht="15" hidden="false" customHeight="false" outlineLevel="0" collapsed="false">
      <c r="A14" s="5" t="s">
        <v>57</v>
      </c>
      <c r="B14" s="10" t="s">
        <v>58</v>
      </c>
      <c r="C14" s="16" t="s">
        <v>52</v>
      </c>
      <c r="D14" s="5"/>
      <c r="E14" s="5" t="str">
        <f aca="false">IF(D14="","",INT(Summary!$B$2-D14))</f>
        <v/>
      </c>
      <c r="F14" s="13" t="n">
        <v>46227.4904398148</v>
      </c>
      <c r="G14" s="5" t="n">
        <f aca="false">INT(F14-Summary!$B$2)</f>
        <v>30</v>
      </c>
      <c r="H14" s="5" t="str">
        <f aca="false">IF(G14&lt;=7,"⚠️ Soon","")</f>
        <v/>
      </c>
      <c r="I14" s="14" t="s">
        <v>46</v>
      </c>
    </row>
    <row r="15" customFormat="false" ht="15" hidden="false" customHeight="false" outlineLevel="0" collapsed="false">
      <c r="A15" s="5" t="s">
        <v>59</v>
      </c>
      <c r="B15" s="10" t="s">
        <v>60</v>
      </c>
      <c r="C15" s="16" t="s">
        <v>52</v>
      </c>
      <c r="D15" s="5"/>
      <c r="E15" s="5" t="str">
        <f aca="false">IF(D15="","",INT(Summary!$B$2-D15))</f>
        <v/>
      </c>
      <c r="F15" s="13" t="n">
        <v>46206.2056944444</v>
      </c>
      <c r="G15" s="5" t="n">
        <f aca="false">INT(F15-Summary!$B$2)</f>
        <v>9</v>
      </c>
      <c r="H15" s="5" t="str">
        <f aca="false">IF(G15&lt;=7,"⚠️ Soon","")</f>
        <v/>
      </c>
      <c r="I15" s="14" t="s">
        <v>46</v>
      </c>
    </row>
    <row r="16" customFormat="false" ht="15" hidden="false" customHeight="false" outlineLevel="0" collapsed="false">
      <c r="A16" s="5" t="s">
        <v>61</v>
      </c>
      <c r="B16" s="10" t="s">
        <v>62</v>
      </c>
      <c r="C16" s="16" t="s">
        <v>52</v>
      </c>
      <c r="D16" s="5"/>
      <c r="E16" s="5" t="str">
        <f aca="false">IF(D16="","",INT(Summary!$B$2-D16))</f>
        <v/>
      </c>
      <c r="F16" s="13" t="n">
        <v>46201.6477546296</v>
      </c>
      <c r="G16" s="5" t="n">
        <f aca="false">INT(F16-Summary!$B$2)</f>
        <v>4</v>
      </c>
      <c r="H16" s="5" t="str">
        <f aca="false">IF(G16&lt;=7,"⚠️ Soon","")</f>
        <v>⚠️ Soon</v>
      </c>
      <c r="I16" s="14" t="s">
        <v>46</v>
      </c>
    </row>
    <row r="17" customFormat="false" ht="15" hidden="false" customHeight="false" outlineLevel="0" collapsed="false">
      <c r="A17" s="5" t="s">
        <v>63</v>
      </c>
      <c r="B17" s="10" t="s">
        <v>64</v>
      </c>
      <c r="C17" s="16" t="s">
        <v>52</v>
      </c>
      <c r="D17" s="5"/>
      <c r="E17" s="5" t="str">
        <f aca="false">IF(D17="","",INT(Summary!$B$2-D17))</f>
        <v/>
      </c>
      <c r="F17" s="13" t="n">
        <v>46213.3141087963</v>
      </c>
      <c r="G17" s="5" t="n">
        <f aca="false">INT(F17-Summary!$B$2)</f>
        <v>16</v>
      </c>
      <c r="H17" s="5" t="str">
        <f aca="false">IF(G17&lt;=7,"⚠️ Soon","")</f>
        <v/>
      </c>
      <c r="I17" s="14" t="s">
        <v>46</v>
      </c>
    </row>
    <row r="18" customFormat="false" ht="15" hidden="false" customHeight="false" outlineLevel="0" collapsed="false">
      <c r="A18" s="5" t="s">
        <v>65</v>
      </c>
      <c r="B18" s="10" t="s">
        <v>66</v>
      </c>
      <c r="C18" s="16" t="s">
        <v>52</v>
      </c>
      <c r="D18" s="5"/>
      <c r="E18" s="5" t="str">
        <f aca="false">IF(D18="","",INT(Summary!$B$2-D18))</f>
        <v/>
      </c>
      <c r="F18" s="13" t="n">
        <v>46200.3848726852</v>
      </c>
      <c r="G18" s="5" t="n">
        <f aca="false">INT(F18-Summary!$B$2)</f>
        <v>3</v>
      </c>
      <c r="H18" s="5" t="str">
        <f aca="false">IF(G18&lt;=7,"⚠️ Soon","")</f>
        <v>⚠️ Soon</v>
      </c>
      <c r="I18" s="1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67</v>
      </c>
    </row>
    <row r="3" customFormat="false" ht="15" hidden="false" customHeight="false" outlineLevel="0" collapsed="false">
      <c r="A3" s="17" t="s">
        <v>68</v>
      </c>
      <c r="B3" s="17" t="s">
        <v>69</v>
      </c>
    </row>
    <row r="4" customFormat="false" ht="15" hidden="false" customHeight="false" outlineLevel="0" collapsed="false">
      <c r="A4" s="5" t="s">
        <v>70</v>
      </c>
      <c r="B4" s="5" t="n">
        <v>1</v>
      </c>
    </row>
    <row r="5" customFormat="false" ht="15" hidden="false" customHeight="false" outlineLevel="0" collapsed="false">
      <c r="A5" s="5" t="s">
        <v>71</v>
      </c>
      <c r="B5" s="5" t="n">
        <v>1</v>
      </c>
    </row>
    <row r="6" customFormat="false" ht="15" hidden="false" customHeight="false" outlineLevel="0" collapsed="false">
      <c r="A6" s="5" t="s">
        <v>72</v>
      </c>
      <c r="B6" s="5" t="n">
        <v>1</v>
      </c>
    </row>
    <row r="7" customFormat="false" ht="15" hidden="false" customHeight="false" outlineLevel="0" collapsed="false">
      <c r="A7" s="5" t="s">
        <v>73</v>
      </c>
      <c r="B7" s="5" t="n">
        <v>1</v>
      </c>
    </row>
    <row r="8" customFormat="false" ht="15" hidden="false" customHeight="false" outlineLevel="0" collapsed="false">
      <c r="A8" s="5" t="s">
        <v>74</v>
      </c>
      <c r="B8" s="5" t="n">
        <v>4</v>
      </c>
    </row>
    <row r="9" customFormat="false" ht="15" hidden="false" customHeight="false" outlineLevel="0" collapsed="false">
      <c r="A9" s="5" t="s">
        <v>75</v>
      </c>
      <c r="B9" s="5" t="n">
        <v>1</v>
      </c>
    </row>
    <row r="10" customFormat="false" ht="15" hidden="false" customHeight="false" outlineLevel="0" collapsed="false">
      <c r="A10" s="5" t="s">
        <v>76</v>
      </c>
      <c r="B10" s="5" t="n">
        <v>2</v>
      </c>
    </row>
    <row r="11" customFormat="false" ht="15" hidden="false" customHeight="false" outlineLevel="0" collapsed="false">
      <c r="A11" s="5" t="s">
        <v>77</v>
      </c>
      <c r="B11" s="5" t="n">
        <v>2</v>
      </c>
    </row>
    <row r="12" customFormat="false" ht="15" hidden="false" customHeight="false" outlineLevel="0" collapsed="false">
      <c r="A12" s="5" t="s">
        <v>78</v>
      </c>
      <c r="B12" s="5" t="n">
        <v>2</v>
      </c>
    </row>
    <row r="13" customFormat="false" ht="15" hidden="false" customHeight="false" outlineLevel="0" collapsed="false">
      <c r="A13" s="5" t="s">
        <v>79</v>
      </c>
      <c r="B13" s="5" t="n">
        <v>1</v>
      </c>
    </row>
    <row r="14" customFormat="false" ht="15" hidden="false" customHeight="false" outlineLevel="0" collapsed="false">
      <c r="A14" s="5" t="s">
        <v>80</v>
      </c>
      <c r="B14" s="5" t="n">
        <v>1</v>
      </c>
    </row>
    <row r="15" customFormat="false" ht="15" hidden="false" customHeight="false" outlineLevel="0" collapsed="false">
      <c r="A15" s="5" t="s">
        <v>81</v>
      </c>
      <c r="B15" s="5" t="n">
        <v>1</v>
      </c>
    </row>
    <row r="16" customFormat="false" ht="15" hidden="false" customHeight="false" outlineLevel="0" collapsed="false">
      <c r="A16" s="5" t="s">
        <v>82</v>
      </c>
      <c r="B16" s="5" t="n">
        <v>1</v>
      </c>
    </row>
    <row r="17" customFormat="false" ht="15" hidden="false" customHeight="false" outlineLevel="0" collapsed="false">
      <c r="A17" s="5" t="s">
        <v>83</v>
      </c>
      <c r="B17" s="5" t="n">
        <v>1</v>
      </c>
    </row>
    <row r="18" customFormat="false" ht="15" hidden="false" customHeight="false" outlineLevel="0" collapsed="false">
      <c r="A18" s="5" t="s">
        <v>84</v>
      </c>
      <c r="B18" s="5" t="n">
        <v>1</v>
      </c>
    </row>
    <row r="19" customFormat="false" ht="15" hidden="false" customHeight="false" outlineLevel="0" collapsed="false">
      <c r="A19" s="2" t="s">
        <v>85</v>
      </c>
      <c r="B19" s="2" t="n">
        <f aca="false">SUM(B4:B18)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2026-06-24T08:59:41Z</dcterms:created>
  <dc:creator>openpyxl</dc:creator>
  <dc:description/>
  <dc:language>en-US</dc:language>
  <cp:lastModifiedBy/>
  <dcterms:modified xsi:type="dcterms:W3CDTF">2026-06-24T08:59:41Z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